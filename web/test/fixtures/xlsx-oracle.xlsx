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A2F5860-00A6-4BEF-A03F-6391E72A4BE0}" xr6:coauthVersionLast="47" xr6:coauthVersionMax="47" xr10:uidLastSave="{00000000-0000-0000-0000-000000000000}"/>
  <bookViews>
    <workbookView xWindow="-108" yWindow="-108" windowWidth="23256" windowHeight="12456" xr2:uid="{839CCD57-0CBE-41A1-B203-D0E43E75CBEA}"/>
  </bookViews>
  <sheets>
    <sheet name="Cases" sheetId="1" r:id="rId1"/>
    <sheet name="Data" sheetId="2" r:id="rId2"/>
    <sheet name="Oth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4" i="1" l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C1" i="3"/>
  <c r="A27" i="1" s="1"/>
</calcChain>
</file>

<file path=xl/sharedStrings.xml><?xml version="1.0" encoding="utf-8"?>
<sst xmlns="http://schemas.openxmlformats.org/spreadsheetml/2006/main" count="1" uniqueCount="1">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</sst>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BC5E-DAC0-474C-8CB8-3E8FD77CA4A0}">
  <dimension ref="A1:A84"/>
  <sheetViews>
    <sheetView tabSelected="1" workbookViewId="0"/>
  </sheetViews>
  <sheetFormatPr defaultRowHeight="14.4" x14ac:dyDescent="0.3"/>
  <sheetData>
    <row r="1" spans="1:1" x14ac:dyDescent="0.3">
      <c r="A1">
        <f>-2^2</f>
        <v>4</v>
      </c>
    </row>
    <row r="2" spans="1:1" x14ac:dyDescent="0.3">
      <c r="A2">
        <f>2^3^2</f>
        <v>64</v>
      </c>
    </row>
    <row r="3" spans="1:1" x14ac:dyDescent="0.3">
      <c r="A3">
        <f>-Data!A4^2</f>
        <v>2.6009999999999996E-3</v>
      </c>
    </row>
    <row r="4" spans="1:1" x14ac:dyDescent="0.3">
      <c r="A4">
        <f>2^-1</f>
        <v>0.5</v>
      </c>
    </row>
    <row r="5" spans="1:1" x14ac:dyDescent="0.3">
      <c r="A5">
        <f>1+2*3-4/2</f>
        <v>5</v>
      </c>
    </row>
    <row r="6" spans="1:1" x14ac:dyDescent="0.3">
      <c r="A6">
        <f>(1+2)*3</f>
        <v>9</v>
      </c>
    </row>
    <row r="7" spans="1:1" x14ac:dyDescent="0.3">
      <c r="A7">
        <f>10-2-3</f>
        <v>5</v>
      </c>
    </row>
    <row r="8" spans="1:1" x14ac:dyDescent="0.3">
      <c r="A8">
        <f>2*-3</f>
        <v>-6</v>
      </c>
    </row>
    <row r="9" spans="1:1" x14ac:dyDescent="0.3">
      <c r="A9">
        <f>-(2^2)</f>
        <v>-4</v>
      </c>
    </row>
    <row r="10" spans="1:1" x14ac:dyDescent="0.3">
      <c r="A10" t="str">
        <f>1+2&amp;"x"</f>
        <v>3x</v>
      </c>
    </row>
    <row r="11" spans="1:1" x14ac:dyDescent="0.3">
      <c r="A11" t="str">
        <f>"a"&amp;1.5</f>
        <v>a1.5</v>
      </c>
    </row>
    <row r="12" spans="1:1" x14ac:dyDescent="0.3">
      <c r="A12" t="str">
        <f>"&lt;="&amp;0.25</f>
        <v>&lt;=0.25</v>
      </c>
    </row>
    <row r="13" spans="1:1" x14ac:dyDescent="0.3">
      <c r="A13" t="str">
        <f>1/3&amp;""</f>
        <v>0.333333333333333</v>
      </c>
    </row>
    <row r="14" spans="1:1" x14ac:dyDescent="0.3">
      <c r="A14" t="str">
        <f>"&lt;="&amp;Data!D1</f>
        <v>&lt;=-0.0123456789012346</v>
      </c>
    </row>
    <row r="15" spans="1:1" x14ac:dyDescent="0.3">
      <c r="A15" t="b">
        <f>1+2&lt;4</f>
        <v>1</v>
      </c>
    </row>
    <row r="16" spans="1:1" x14ac:dyDescent="0.3">
      <c r="A16" t="b">
        <f>1=1</f>
        <v>1</v>
      </c>
    </row>
    <row r="17" spans="1:1" x14ac:dyDescent="0.3">
      <c r="A17" t="b">
        <f>"a"="A"</f>
        <v>1</v>
      </c>
    </row>
    <row r="18" spans="1:1" x14ac:dyDescent="0.3">
      <c r="A18" t="b">
        <f>2&gt;=3</f>
        <v>0</v>
      </c>
    </row>
    <row r="19" spans="1:1" x14ac:dyDescent="0.3">
      <c r="A19" t="b">
        <f>1&lt;&gt;1</f>
        <v>0</v>
      </c>
    </row>
    <row r="20" spans="1:1" x14ac:dyDescent="0.3">
      <c r="A20">
        <f>TRUE+1</f>
        <v>2</v>
      </c>
    </row>
    <row r="21" spans="1:1" x14ac:dyDescent="0.3">
      <c r="A21" t="b">
        <f>Data!A1&gt;0.01</f>
        <v>1</v>
      </c>
    </row>
    <row r="22" spans="1:1" x14ac:dyDescent="0.3">
      <c r="A22" t="e">
        <f>1/0</f>
        <v>#DIV/0!</v>
      </c>
    </row>
    <row r="23" spans="1:1" x14ac:dyDescent="0.3">
      <c r="A23" t="e">
        <f>SQRT(-1)</f>
        <v>#NUM!</v>
      </c>
    </row>
    <row r="24" spans="1:1" x14ac:dyDescent="0.3">
      <c r="A24">
        <f>Data!$A$1+Data!A$2+Data!$A3</f>
        <v>1.0999999999999999E-2</v>
      </c>
    </row>
    <row r="25" spans="1:1" x14ac:dyDescent="0.3">
      <c r="A25">
        <f>'Other Data'!B2*2</f>
        <v>40</v>
      </c>
    </row>
    <row r="26" spans="1:1" x14ac:dyDescent="0.3">
      <c r="A26">
        <f>SUM('Other Data'!B1:B3)</f>
        <v>60</v>
      </c>
    </row>
    <row r="27" spans="1:1" x14ac:dyDescent="0.3">
      <c r="A27">
        <f>'Other Data'!C1+1</f>
        <v>6.1</v>
      </c>
    </row>
    <row r="28" spans="1:1" x14ac:dyDescent="0.3">
      <c r="A28">
        <f>Data!$B$4*(1+Data!A4)</f>
        <v>3.1529999999999996E-2</v>
      </c>
    </row>
    <row r="29" spans="1:1" x14ac:dyDescent="0.3">
      <c r="A29">
        <f>SUM(Data!A1:A8)</f>
        <v>0.06</v>
      </c>
    </row>
    <row r="30" spans="1:1" x14ac:dyDescent="0.3">
      <c r="A30">
        <f>SUM(Data!C1:C5)</f>
        <v>9</v>
      </c>
    </row>
    <row r="31" spans="1:1" x14ac:dyDescent="0.3">
      <c r="A31">
        <f>AVERAGE(Data!A1:A8)</f>
        <v>7.4999999999999997E-3</v>
      </c>
    </row>
    <row r="32" spans="1:1" x14ac:dyDescent="0.3">
      <c r="A32">
        <f>AVERAGE(Data!C1:C5)</f>
        <v>3</v>
      </c>
    </row>
    <row r="33" spans="1:1" x14ac:dyDescent="0.3">
      <c r="A33">
        <f>COUNT(Data!C1:C5)</f>
        <v>3</v>
      </c>
    </row>
    <row r="34" spans="1:1" x14ac:dyDescent="0.3">
      <c r="A34">
        <f>COUNT(Data!A1:A8)</f>
        <v>8</v>
      </c>
    </row>
    <row r="35" spans="1:1" x14ac:dyDescent="0.3">
      <c r="A35">
        <f>MIN(Data!A1:A8)</f>
        <v>-8.9999999999999993E-3</v>
      </c>
    </row>
    <row r="36" spans="1:1" x14ac:dyDescent="0.3">
      <c r="A36">
        <f>MAX(Data!A1:A8)</f>
        <v>5.0999999999999997E-2</v>
      </c>
    </row>
    <row r="37" spans="1:1" x14ac:dyDescent="0.3">
      <c r="A37">
        <f>MAX(Data!A2,Data!A3)</f>
        <v>3.0000000000000001E-3</v>
      </c>
    </row>
    <row r="38" spans="1:1" x14ac:dyDescent="0.3">
      <c r="A38">
        <f>MIN(Data!C2,Data!C3)</f>
        <v>-2</v>
      </c>
    </row>
    <row r="39" spans="1:1" x14ac:dyDescent="0.3">
      <c r="A39">
        <f>MAX(Data!E1:E3)</f>
        <v>0</v>
      </c>
    </row>
    <row r="40" spans="1:1" x14ac:dyDescent="0.3">
      <c r="A40">
        <f>SQRT(2)</f>
        <v>1.4142135623730951</v>
      </c>
    </row>
    <row r="41" spans="1:1" x14ac:dyDescent="0.3">
      <c r="A41">
        <f>ABS(-3.5)</f>
        <v>3.5</v>
      </c>
    </row>
    <row r="42" spans="1:1" x14ac:dyDescent="0.3">
      <c r="A42">
        <f>ABS(Data!A2)</f>
        <v>4.0000000000000001E-3</v>
      </c>
    </row>
    <row r="43" spans="1:1" x14ac:dyDescent="0.3">
      <c r="A43">
        <f>SUMPRODUCT(Data!A1:A8,Data!B1:B8)</f>
        <v>1.823E-3</v>
      </c>
    </row>
    <row r="44" spans="1:1" x14ac:dyDescent="0.3">
      <c r="A44">
        <f>SUMPRODUCT(--(Data!A1:A8&lt;=0.002),Data!A1:A8)</f>
        <v>-1.2E-2</v>
      </c>
    </row>
    <row r="45" spans="1:1" x14ac:dyDescent="0.3">
      <c r="A45">
        <f>SUMPRODUCT(--(Data!A1:A8&lt;=0.002))</f>
        <v>4</v>
      </c>
    </row>
    <row r="46" spans="1:1" x14ac:dyDescent="0.3">
      <c r="A46">
        <f>SUMPRODUCT((Data!A1:A8&lt;0.001)*(Data!A1:A8-0.001)^2)</f>
        <v>1.2899999999999996E-4</v>
      </c>
    </row>
    <row r="47" spans="1:1" x14ac:dyDescent="0.3">
      <c r="A47">
        <f>SUMPRODUCT(Data!A1:A8&lt;=0.002)</f>
        <v>0</v>
      </c>
    </row>
    <row r="48" spans="1:1" x14ac:dyDescent="0.3">
      <c r="A48">
        <f>SUMPRODUCT(Data!A10:D10,Data!A11:D11)</f>
        <v>5.0000000000000001E-3</v>
      </c>
    </row>
    <row r="49" spans="1:1" x14ac:dyDescent="0.3">
      <c r="A49">
        <f>SUMPRODUCT(Data!$A$10:$D$10,Data!A11:D11)</f>
        <v>5.0000000000000001E-3</v>
      </c>
    </row>
    <row r="50" spans="1:1" x14ac:dyDescent="0.3">
      <c r="A50">
        <f>SUMPRODUCT(Data!C1:C5,Data!C1:C5)</f>
        <v>69</v>
      </c>
    </row>
    <row r="51" spans="1:1" x14ac:dyDescent="0.3">
      <c r="A51" t="e">
        <f>SUMPRODUCT(Data!A1:A8,Data!A10:D10)</f>
        <v>#VALUE!</v>
      </c>
    </row>
    <row r="52" spans="1:1" x14ac:dyDescent="0.3">
      <c r="A52">
        <f>-SUMPRODUCT(--(Data!A1:A8&lt;=-Data!A2),Data!A1:A8)/SUMPRODUCT(--(Data!A1:A8&lt;=-Data!A2))</f>
        <v>1.7999999999999995E-3</v>
      </c>
    </row>
    <row r="53" spans="1:1" x14ac:dyDescent="0.3">
      <c r="A53">
        <f>_xlfn.STDEV.S(Data!A1:A8)</f>
        <v>1.8677717817151614E-2</v>
      </c>
    </row>
    <row r="54" spans="1:1" x14ac:dyDescent="0.3">
      <c r="A54">
        <f>_xlfn.STDEV.S(Data!C1:C5)</f>
        <v>4.5825756949558398</v>
      </c>
    </row>
    <row r="55" spans="1:1" x14ac:dyDescent="0.3">
      <c r="A55">
        <f>_xlfn.PERCENTILE.INC(Data!A1:A8,0.05)</f>
        <v>-7.2499999999999995E-3</v>
      </c>
    </row>
    <row r="56" spans="1:1" x14ac:dyDescent="0.3">
      <c r="A56">
        <f>_xlfn.PERCENTILE.INC(Data!A1:A8,0.5)</f>
        <v>2.5000000000000001E-3</v>
      </c>
    </row>
    <row r="57" spans="1:1" x14ac:dyDescent="0.3">
      <c r="A57">
        <f>_xlfn.PERCENTILE.INC(Data!A1:A8,0)</f>
        <v>-8.9999999999999993E-3</v>
      </c>
    </row>
    <row r="58" spans="1:1" x14ac:dyDescent="0.3">
      <c r="A58">
        <f>_xlfn.PERCENTILE.INC(Data!A1:A8,1)</f>
        <v>5.0999999999999997E-2</v>
      </c>
    </row>
    <row r="59" spans="1:1" x14ac:dyDescent="0.3">
      <c r="A59">
        <f>_xlfn.PERCENTILE.INC(Data!A1:A8,0.4)</f>
        <v>1.4000000000000006E-3</v>
      </c>
    </row>
    <row r="60" spans="1:1" x14ac:dyDescent="0.3">
      <c r="A60">
        <f>-_xlfn.PERCENTILE.INC(Data!A1:A8,0.05)</f>
        <v>7.2499999999999995E-3</v>
      </c>
    </row>
    <row r="61" spans="1:1" x14ac:dyDescent="0.3">
      <c r="A61">
        <f>SKEW(Data!A1:A8)</f>
        <v>2.2075382889613198</v>
      </c>
    </row>
    <row r="62" spans="1:1" x14ac:dyDescent="0.3">
      <c r="A62">
        <f>KURT(Data!A1:A8)</f>
        <v>5.4649940536918411</v>
      </c>
    </row>
    <row r="63" spans="1:1" x14ac:dyDescent="0.3">
      <c r="A63">
        <f>SKEW(Data!C1:C5)</f>
        <v>-0.93521952958282495</v>
      </c>
    </row>
    <row r="64" spans="1:1" x14ac:dyDescent="0.3">
      <c r="A64">
        <f>KURT(Data!B1:B8)</f>
        <v>2.5978132342275799</v>
      </c>
    </row>
    <row r="65" spans="1:1" x14ac:dyDescent="0.3">
      <c r="A65">
        <f>SLOPE(Data!A1:A8,Data!B1:B8)</f>
        <v>1.4469835466179162</v>
      </c>
    </row>
    <row r="66" spans="1:1" x14ac:dyDescent="0.3">
      <c r="A66">
        <f>INTERCEPT(Data!A1:A8,Data!B1:B8)</f>
        <v>1.7120658135283363E-3</v>
      </c>
    </row>
    <row r="67" spans="1:1" x14ac:dyDescent="0.3">
      <c r="A67">
        <f>CORREL(Data!A1:A8,Data!B1:B8)</f>
        <v>0.96849955176843505</v>
      </c>
    </row>
    <row r="68" spans="1:1" x14ac:dyDescent="0.3">
      <c r="A68">
        <f>CORREL(Data!B1:B8,Data!B1:B8)</f>
        <v>1</v>
      </c>
    </row>
    <row r="69" spans="1:1" x14ac:dyDescent="0.3">
      <c r="A69">
        <f>SLOPE(Data!B1:B8,Data!B1:B8)</f>
        <v>1</v>
      </c>
    </row>
    <row r="70" spans="1:1" x14ac:dyDescent="0.3">
      <c r="A70">
        <f>CORREL(Data!A1:A8,Data!B1:B8)^2</f>
        <v>0.93799138177565966</v>
      </c>
    </row>
    <row r="71" spans="1:1" x14ac:dyDescent="0.3">
      <c r="A71">
        <f>AVERAGEIF(Data!A1:A8,"&lt;="&amp;0.002)</f>
        <v>-3.0000000000000001E-3</v>
      </c>
    </row>
    <row r="72" spans="1:1" x14ac:dyDescent="0.3">
      <c r="A72">
        <f>AVERAGEIF(Data!A1:A8,"&lt;="&amp;Data!A6)</f>
        <v>-3.0000000000000001E-3</v>
      </c>
    </row>
    <row r="73" spans="1:1" x14ac:dyDescent="0.3">
      <c r="A73">
        <f>AVERAGEIF(Data!D1:D4,"&lt;="&amp;Data!D1)</f>
        <v>-1.6172839450617284E-2</v>
      </c>
    </row>
    <row r="74" spans="1:1" x14ac:dyDescent="0.3">
      <c r="A74">
        <f>AVERAGEIF(Data!D1:D4,"&lt;="&amp;Data!D4)</f>
        <v>-1.4897119267489522E-2</v>
      </c>
    </row>
    <row r="75" spans="1:1" x14ac:dyDescent="0.3">
      <c r="A75">
        <f>AVERAGEIF(Data!A1:A8,"&gt;0")</f>
        <v>1.4800000000000002E-2</v>
      </c>
    </row>
    <row r="76" spans="1:1" x14ac:dyDescent="0.3">
      <c r="A76" t="b">
        <f>Data!D1&lt;=-0.0123456789012346</f>
        <v>1</v>
      </c>
    </row>
    <row r="77" spans="1:1" x14ac:dyDescent="0.3">
      <c r="A77" t="b">
        <f>Data!D1=-0.0123456789012346</f>
        <v>1</v>
      </c>
    </row>
    <row r="78" spans="1:1" x14ac:dyDescent="0.3">
      <c r="A78" t="b">
        <f>Data!D1&lt;-0.0123456789012346</f>
        <v>0</v>
      </c>
    </row>
    <row r="79" spans="1:1" x14ac:dyDescent="0.3">
      <c r="A79">
        <f>SUMPRODUCT(--(Data!D1:D4&lt;=-0.0123456789012346))</f>
        <v>2</v>
      </c>
    </row>
    <row r="80" spans="1:1" x14ac:dyDescent="0.3">
      <c r="A80">
        <f>SUMPRODUCT(--(Data!D1:D4&lt;-0.0123456789012346))</f>
        <v>1</v>
      </c>
    </row>
    <row r="81" spans="1:1" x14ac:dyDescent="0.3">
      <c r="A81">
        <f>SUMPRODUCT(--(Data!D1:D4&lt;=Data!D1))</f>
        <v>2</v>
      </c>
    </row>
    <row r="82" spans="1:1" x14ac:dyDescent="0.3">
      <c r="A82" t="b">
        <f>0.1+0.2=0.3</f>
        <v>1</v>
      </c>
    </row>
    <row r="83" spans="1:1" x14ac:dyDescent="0.3">
      <c r="A83" t="b">
        <f>1+0.000000000000001=1</f>
        <v>1</v>
      </c>
    </row>
    <row r="84" spans="1:1" x14ac:dyDescent="0.3">
      <c r="A84" t="b">
        <f>1+0.00000000000001=1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9A47-403A-4650-9D35-FE255A1F5731}">
  <dimension ref="A1:D11"/>
  <sheetViews>
    <sheetView workbookViewId="0"/>
  </sheetViews>
  <sheetFormatPr defaultRowHeight="14.4" x14ac:dyDescent="0.3"/>
  <sheetData>
    <row r="1" spans="1:4" x14ac:dyDescent="0.3">
      <c r="A1">
        <v>1.2E-2</v>
      </c>
      <c r="B1">
        <v>0.01</v>
      </c>
      <c r="C1">
        <v>4</v>
      </c>
      <c r="D1">
        <v>-1.2345678901234567E-2</v>
      </c>
    </row>
    <row r="2" spans="1:4" x14ac:dyDescent="0.3">
      <c r="A2">
        <v>-4.0000000000000001E-3</v>
      </c>
      <c r="B2">
        <v>-6.0000000000000001E-3</v>
      </c>
      <c r="D2">
        <v>-0.02</v>
      </c>
    </row>
    <row r="3" spans="1:4" x14ac:dyDescent="0.3">
      <c r="A3">
        <v>3.0000000000000001E-3</v>
      </c>
      <c r="B3">
        <v>1E-3</v>
      </c>
      <c r="C3">
        <v>-2</v>
      </c>
      <c r="D3">
        <v>0.01</v>
      </c>
    </row>
    <row r="4" spans="1:4" x14ac:dyDescent="0.3">
      <c r="A4">
        <v>5.0999999999999997E-2</v>
      </c>
      <c r="B4">
        <v>0.03</v>
      </c>
      <c r="C4" t="s">
        <v>0</v>
      </c>
      <c r="D4">
        <v>-1.2345678901233999E-2</v>
      </c>
    </row>
    <row r="5" spans="1:4" x14ac:dyDescent="0.3">
      <c r="A5">
        <v>-8.9999999999999993E-3</v>
      </c>
      <c r="B5">
        <v>-1.2E-2</v>
      </c>
      <c r="C5">
        <v>7</v>
      </c>
    </row>
    <row r="6" spans="1:4" x14ac:dyDescent="0.3">
      <c r="A6">
        <v>2E-3</v>
      </c>
      <c r="B6">
        <v>4.0000000000000001E-3</v>
      </c>
    </row>
    <row r="7" spans="1:4" x14ac:dyDescent="0.3">
      <c r="A7">
        <v>6.0000000000000001E-3</v>
      </c>
      <c r="B7">
        <v>5.0000000000000001E-3</v>
      </c>
    </row>
    <row r="8" spans="1:4" x14ac:dyDescent="0.3">
      <c r="A8">
        <v>-1E-3</v>
      </c>
      <c r="B8">
        <v>0</v>
      </c>
    </row>
    <row r="10" spans="1:4" x14ac:dyDescent="0.3">
      <c r="A10">
        <v>0.25</v>
      </c>
      <c r="B10">
        <v>0.25</v>
      </c>
      <c r="C10">
        <v>0.3</v>
      </c>
      <c r="D10">
        <v>0.2</v>
      </c>
    </row>
    <row r="11" spans="1:4" x14ac:dyDescent="0.3">
      <c r="A11">
        <v>0.01</v>
      </c>
      <c r="B11">
        <v>-0.02</v>
      </c>
      <c r="C11">
        <v>5.0000000000000001E-3</v>
      </c>
      <c r="D11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2709-895A-4EE6-9746-E1B80A02E67A}">
  <dimension ref="B1:C3"/>
  <sheetViews>
    <sheetView workbookViewId="0"/>
  </sheetViews>
  <sheetFormatPr defaultRowHeight="14.4" x14ac:dyDescent="0.3"/>
  <sheetData>
    <row r="1" spans="2:3" x14ac:dyDescent="0.3">
      <c r="B1">
        <v>10</v>
      </c>
      <c r="C1">
        <f>Data!A4*100</f>
        <v>5.0999999999999996</v>
      </c>
    </row>
    <row r="2" spans="2:3" x14ac:dyDescent="0.3">
      <c r="B2">
        <v>20</v>
      </c>
    </row>
    <row r="3" spans="2:3" x14ac:dyDescent="0.3"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2026-10-04T03:36:43Z</dcterms:created>
  <dcterms:modified xsi:type="dcterms:W3CDTF">2026-10-04T03:36:44Z</dcterms:modified>
</cp:coreProperties>
</file>